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anamiki/Desktop/ファイル/大学/B3/エレクトロニクス実験A/3/"/>
    </mc:Choice>
  </mc:AlternateContent>
  <xr:revisionPtr revIDLastSave="0" documentId="13_ncr:1_{F65CD031-9EE0-3648-B2FF-678819D0D8B3}" xr6:coauthVersionLast="47" xr6:coauthVersionMax="47" xr10:uidLastSave="{00000000-0000-0000-0000-000000000000}"/>
  <bookViews>
    <workbookView xWindow="0" yWindow="500" windowWidth="51200" windowHeight="25920" xr2:uid="{91A01415-9E5E-334C-A011-F727FEBAE53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 a="1"/>
  <c r="F2" i="1" s="1"/>
  <c r="K3" i="1" l="1" a="1"/>
  <c r="K3" i="1" s="1"/>
  <c r="K4" i="1" a="1"/>
  <c r="K4" i="1"/>
  <c r="K5" i="1" a="1"/>
  <c r="K5" i="1"/>
  <c r="K6" i="1" a="1"/>
  <c r="K6" i="1" s="1"/>
  <c r="K7" i="1" a="1"/>
  <c r="K7" i="1"/>
  <c r="K8" i="1" a="1"/>
  <c r="K8" i="1" s="1"/>
  <c r="K9" i="1" a="1"/>
  <c r="K9" i="1"/>
  <c r="K10" i="1" a="1"/>
  <c r="K10" i="1"/>
  <c r="K2" i="1" a="1"/>
  <c r="K2" i="1" s="1"/>
  <c r="F3" i="1" a="1"/>
  <c r="F3" i="1" s="1"/>
  <c r="F4" i="1" a="1"/>
  <c r="F4" i="1" s="1"/>
  <c r="F5" i="1" a="1"/>
  <c r="F5" i="1"/>
  <c r="F6" i="1" a="1"/>
  <c r="F6" i="1" s="1"/>
  <c r="F7" i="1" a="1"/>
  <c r="F7" i="1" s="1"/>
  <c r="F8" i="1" a="1"/>
  <c r="F8" i="1" s="1"/>
  <c r="F9" i="1" a="1"/>
  <c r="F9" i="1" s="1"/>
  <c r="F10" i="1" a="1"/>
  <c r="F10" i="1"/>
  <c r="I3" i="1"/>
  <c r="I10" i="1"/>
  <c r="I9" i="1"/>
  <c r="I8" i="1"/>
  <c r="I7" i="1"/>
  <c r="I6" i="1"/>
  <c r="I5" i="1"/>
  <c r="I4" i="1"/>
  <c r="I2" i="1"/>
  <c r="D3" i="1"/>
  <c r="D4" i="1"/>
  <c r="D5" i="1"/>
  <c r="D6" i="1"/>
  <c r="D7" i="1"/>
  <c r="D8" i="1"/>
  <c r="D9" i="1"/>
  <c r="D10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<sst xmlns="http://schemas.openxmlformats.org/spreadsheetml/2006/main" count="13" uniqueCount="12">
  <si>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V_in_b</t>
    <phoneticPr fontId="1"/>
  </si>
  <si>
    <t>V_out_b</t>
    <phoneticPr fontId="1"/>
  </si>
  <si>
    <t>Hz</t>
    <phoneticPr fontId="1"/>
  </si>
  <si>
    <t>V_in_s</t>
    <phoneticPr fontId="1"/>
  </si>
  <si>
    <t>V_out_s</t>
    <phoneticPr fontId="1"/>
  </si>
  <si>
    <t>G_b</t>
    <phoneticPr fontId="1"/>
  </si>
  <si>
    <t>G_s</t>
    <phoneticPr fontId="1"/>
  </si>
  <si>
    <t>phi_b</t>
    <phoneticPr fontId="1"/>
  </si>
  <si>
    <t>phi_s</t>
    <phoneticPr fontId="1"/>
  </si>
  <si>
    <t>micro</t>
    <phoneticPr fontId="1"/>
  </si>
  <si>
    <t>delta_b</t>
    <phoneticPr fontId="1"/>
  </si>
  <si>
    <t>delta_s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</si>
</sst>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BA2A7-823A-9849-8BBC-12CC83940227}">
  <dimension ref="A1:K11"/>
  <sheetViews>
    <sheetView tabSelected="1" workbookViewId="0">
      <selection activeCell="F5" sqref="F5"/>
    </sheetView>
  </sheetViews>
  <sheetFormatPr baseColWidth="10" defaultRowHeight="20"/>
  <cols>
    <col min="7" max="7" width="10.7109375" style="1"/>
  </cols>
  <sheetData>
    <row r="1" spans="1:11">
      <c r="A1" t="s">
        <v>2</v>
      </c>
      <c r="B1" t="s">
        <v>0</v>
      </c>
      <c r="C1" t="s">
        <v>1</v>
      </c>
      <c r="D1" t="s">
        <v>5</v>
      </c>
      <c r="E1" t="s">
        <v>10</v>
      </c>
      <c r="F1" t="s">
        <v>7</v>
      </c>
      <c r="G1" s="1" t="s">
        <v>3</v>
      </c>
      <c r="H1" t="s">
        <v>4</v>
      </c>
      <c r="I1" t="s">
        <v>6</v>
      </c>
      <c r="J1" t="s">
        <v>11</v>
      </c>
      <c r="K1" t="s">
        <v>8</v>
      </c>
    </row>
    <row r="2" spans="1:11">
      <c r="A2">
        <v>10</v>
      </c>
      <c r="B2">
        <v>1.08</v>
      </c>
      <c r="C2">
        <v>5.2999999999999999E-2</v>
      </c>
      <c r="D2">
        <f>C2/B2</f>
        <v>4.9074074074074069E-2</v>
      </c>
      <c r="E2">
        <v>67200</v>
      </c>
      <c r="F2" cm="1">
        <f t="array" ref="F2">360*A2*E2*10^{-6}</f>
        <v>241.92</v>
      </c>
      <c r="G2" s="1">
        <v>1.03</v>
      </c>
      <c r="H2" s="2">
        <v>0.97599999999999998</v>
      </c>
      <c r="I2">
        <f>H2/G2</f>
        <v>0.94757281553398054</v>
      </c>
      <c r="J2">
        <v>51200</v>
      </c>
      <c r="K2" cm="1">
        <f t="array" ref="K2">360*A2*J2*10^{-6}</f>
        <v>184.32</v>
      </c>
    </row>
    <row r="3" spans="1:11">
      <c r="A3">
        <v>50</v>
      </c>
      <c r="B3">
        <v>1.03</v>
      </c>
      <c r="C3">
        <v>0.25</v>
      </c>
      <c r="D3">
        <f t="shared" ref="D3:D10" si="0">C3/B3</f>
        <v>0.24271844660194175</v>
      </c>
      <c r="E3">
        <v>13200</v>
      </c>
      <c r="F3" cm="1">
        <f t="array" ref="F3">360*A3*E3*10^{-6}</f>
        <v>237.6</v>
      </c>
      <c r="G3" s="1">
        <v>1.02</v>
      </c>
      <c r="H3" s="2">
        <v>0.92800000000000005</v>
      </c>
      <c r="I3">
        <f>H3/G3</f>
        <v>0.90980392156862744</v>
      </c>
      <c r="J3">
        <v>8000</v>
      </c>
      <c r="K3" cm="1">
        <f t="array" ref="K3">360*A3*J3*10^{-6}</f>
        <v>144</v>
      </c>
    </row>
    <row r="4" spans="1:11">
      <c r="A4">
        <v>100</v>
      </c>
      <c r="B4">
        <v>1.03</v>
      </c>
      <c r="C4">
        <v>0.44</v>
      </c>
      <c r="D4">
        <f t="shared" si="0"/>
        <v>0.42718446601941745</v>
      </c>
      <c r="E4">
        <v>3400</v>
      </c>
      <c r="F4" cm="1">
        <f t="array" ref="F4">360*A4*E4*10^{-6}</f>
        <v>122.39999999999999</v>
      </c>
      <c r="G4" s="1">
        <v>1.03</v>
      </c>
      <c r="H4" s="2">
        <v>0.83199999999999996</v>
      </c>
      <c r="I4">
        <f t="shared" ref="I3:I10" si="1">H4/G4</f>
        <v>0.80776699029126209</v>
      </c>
      <c r="J4">
        <v>4000</v>
      </c>
      <c r="K4" cm="1">
        <f t="array" ref="K4">360*A4*J4*10^{-6}</f>
        <v>144</v>
      </c>
    </row>
    <row r="5" spans="1:11">
      <c r="A5">
        <v>500</v>
      </c>
      <c r="B5">
        <v>1.02</v>
      </c>
      <c r="C5">
        <v>0.77</v>
      </c>
      <c r="D5">
        <f t="shared" si="0"/>
        <v>0.75490196078431371</v>
      </c>
      <c r="E5">
        <v>880</v>
      </c>
      <c r="F5" cm="1">
        <f t="array" ref="F5">360*A5*E5*10^{-6}</f>
        <v>158.4</v>
      </c>
      <c r="G5" s="1">
        <v>1.01</v>
      </c>
      <c r="H5" s="2">
        <v>0.32800000000000001</v>
      </c>
      <c r="I5">
        <f t="shared" si="1"/>
        <v>0.32475247524752476</v>
      </c>
      <c r="J5">
        <v>560</v>
      </c>
      <c r="K5" cm="1">
        <f t="array" ref="K5">360*A5*J5*10^{-6}</f>
        <v>100.8</v>
      </c>
    </row>
    <row r="6" spans="1:11">
      <c r="A6">
        <v>1000</v>
      </c>
      <c r="B6">
        <v>1.02</v>
      </c>
      <c r="C6">
        <v>0.8</v>
      </c>
      <c r="D6">
        <f t="shared" si="0"/>
        <v>0.78431372549019607</v>
      </c>
      <c r="E6">
        <v>500</v>
      </c>
      <c r="F6" cm="1">
        <f t="array" ref="F6">360*A6*E6*10^{-6}</f>
        <v>180</v>
      </c>
      <c r="G6" s="1">
        <v>1.02</v>
      </c>
      <c r="H6" s="2">
        <v>0.16800000000000001</v>
      </c>
      <c r="I6">
        <f t="shared" si="1"/>
        <v>0.16470588235294117</v>
      </c>
      <c r="J6">
        <v>300</v>
      </c>
      <c r="K6" cm="1">
        <f t="array" ref="K6">360*A6*J6*10^{-6}</f>
        <v>108</v>
      </c>
    </row>
    <row r="7" spans="1:11">
      <c r="A7">
        <v>5000</v>
      </c>
      <c r="B7">
        <v>1.02</v>
      </c>
      <c r="C7">
        <v>0.5</v>
      </c>
      <c r="D7">
        <f t="shared" si="0"/>
        <v>0.49019607843137253</v>
      </c>
      <c r="E7">
        <v>82</v>
      </c>
      <c r="F7" cm="1">
        <f t="array" ref="F7">360*A7*E7*10^{-6}</f>
        <v>147.6</v>
      </c>
      <c r="G7" s="1">
        <v>1.02</v>
      </c>
      <c r="H7" s="2">
        <v>2.4E-2</v>
      </c>
      <c r="I7">
        <f t="shared" si="1"/>
        <v>2.3529411764705882E-2</v>
      </c>
      <c r="J7">
        <v>56</v>
      </c>
      <c r="K7" cm="1">
        <f t="array" ref="K7">360*A7*J7*10^{-6}</f>
        <v>100.8</v>
      </c>
    </row>
    <row r="8" spans="1:11">
      <c r="A8">
        <v>10000</v>
      </c>
      <c r="B8">
        <v>1.02</v>
      </c>
      <c r="C8">
        <v>0.27</v>
      </c>
      <c r="D8">
        <f t="shared" si="0"/>
        <v>0.26470588235294118</v>
      </c>
      <c r="E8">
        <v>54</v>
      </c>
      <c r="F8" cm="1">
        <f t="array" ref="F8">360*A8*E8*10^{-6}</f>
        <v>194.39999999999998</v>
      </c>
      <c r="G8" s="1">
        <v>1.03</v>
      </c>
      <c r="H8" s="2">
        <v>2.5000000000000001E-2</v>
      </c>
      <c r="I8">
        <f t="shared" si="1"/>
        <v>2.4271844660194174E-2</v>
      </c>
      <c r="J8">
        <v>26</v>
      </c>
      <c r="K8" cm="1">
        <f t="array" ref="K8">360*A8*J8*10^{-6}</f>
        <v>93.6</v>
      </c>
    </row>
    <row r="9" spans="1:11">
      <c r="A9">
        <v>50000</v>
      </c>
      <c r="B9">
        <v>1.03</v>
      </c>
      <c r="C9">
        <v>0.22</v>
      </c>
      <c r="D9">
        <f t="shared" si="0"/>
        <v>0.21359223300970873</v>
      </c>
      <c r="E9">
        <v>10.8</v>
      </c>
      <c r="F9" cm="1">
        <f t="array" ref="F9">360*A9*E9*10^{-6}</f>
        <v>194.39999999999998</v>
      </c>
      <c r="G9" s="1">
        <v>1.03</v>
      </c>
      <c r="H9" s="2">
        <v>1.2E-2</v>
      </c>
      <c r="I9">
        <f t="shared" si="1"/>
        <v>1.1650485436893204E-2</v>
      </c>
      <c r="J9">
        <v>6</v>
      </c>
      <c r="K9" cm="1">
        <f t="array" ref="K9">360*A9*J9*10^{-6}</f>
        <v>108</v>
      </c>
    </row>
    <row r="10" spans="1:11">
      <c r="A10">
        <v>100000</v>
      </c>
      <c r="B10">
        <v>1.03</v>
      </c>
      <c r="C10">
        <v>0.216</v>
      </c>
      <c r="D10">
        <f t="shared" si="0"/>
        <v>0.20970873786407765</v>
      </c>
      <c r="E10">
        <v>5.4</v>
      </c>
      <c r="F10" cm="1">
        <f t="array" ref="F10">360*A10*E10*10^{-6}</f>
        <v>194.39999999999998</v>
      </c>
      <c r="G10" s="1">
        <v>1.03</v>
      </c>
      <c r="H10" s="2">
        <v>1.2E-2</v>
      </c>
      <c r="I10">
        <f t="shared" si="1"/>
        <v>1.1650485436893204E-2</v>
      </c>
      <c r="J10">
        <v>3.4</v>
      </c>
      <c r="K10" cm="1">
        <f t="array" ref="K10">360*A10*J10*10^{-6}</f>
        <v>122.39999999999999</v>
      </c>
    </row>
    <row r="11" spans="1:11">
      <c r="E11" t="s">
        <v>9</v>
      </c>
      <c r="J11" t="s">
        <v>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Mikihisa</dc:creator>
  <cp:lastModifiedBy>Tanaka Mikihisa</cp:lastModifiedBy>
  <dcterms:created xsi:type="dcterms:W3CDTF">2025-06-16T06:52:46Z</dcterms:created>
  <dcterms:modified xsi:type="dcterms:W3CDTF">2025-06-23T09:10:36Z</dcterms:modified>
</cp:coreProperties>
</file>